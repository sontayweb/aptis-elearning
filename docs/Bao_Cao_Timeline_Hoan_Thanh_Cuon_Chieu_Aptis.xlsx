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KPI" sheetId="1" state="visible" r:id="rId1"/>
    <sheet xmlns:r="http://schemas.openxmlformats.org/officeDocument/2006/relationships" name="Timeline Cuốn Chiếu Chi Tiết" sheetId="2" state="visible" r:id="rId2"/>
    <sheet xmlns:r="http://schemas.openxmlformats.org/officeDocument/2006/relationships" name="Đối Soát 5 Câu Hỏi Confirm" sheetId="3" state="visible" r:id="rId3"/>
    <sheet xmlns:r="http://schemas.openxmlformats.org/officeDocument/2006/relationships" name="Checklist File Code &amp; 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.5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64748B"/>
      <sz val="9"/>
    </font>
    <font>
      <name val="Segoe UI"/>
      <b val="1"/>
      <color rgb="001E3A8A"/>
      <sz val="20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Consolas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4" customWidth="1" min="4" max="4"/>
    <col width="46" customWidth="1" min="5" max="5"/>
    <col width="18" customWidth="1" min="6" max="6"/>
    <col width="22" customWidth="1" min="7" max="7"/>
    <col width="10" customWidth="1" min="8" max="8"/>
  </cols>
  <sheetData>
    <row r="1">
      <c r="A1" s="1" t="inlineStr">
        <is>
          <t>BÁO CÁO TIẾN ĐỘ HOÀN THÀNH CUỐN CHIẾU NÂNG CẤP HỆ THỐNG APTIS E-LEARNING</t>
        </is>
      </c>
    </row>
    <row r="2"/>
    <row r="3">
      <c r="A3" s="2" t="inlineStr">
        <is>
          <t>Căn cứ: Cải Thiện Web TA.docx &amp; Bổ sung.docx | Phiên bản v2.2.0 | Ngày lập: 12/10/2026 | Trạng thái: SẴN SÀNG GO-LIVE</t>
        </is>
      </c>
    </row>
    <row r="5">
      <c r="A5" s="3" t="inlineStr">
        <is>
          <t>Dự án:</t>
        </is>
      </c>
      <c r="B5" s="4" t="inlineStr">
        <is>
          <t>Nền tảng Luyện thi Trực tuyến Aptis Kỳ Tích</t>
        </is>
      </c>
      <c r="E5" s="3" t="inlineStr">
        <is>
          <t>Môi trường:</t>
        </is>
      </c>
      <c r="F5" s="4" t="inlineStr">
        <is>
          <t>Production / Staging</t>
        </is>
      </c>
    </row>
    <row r="6">
      <c r="A6" s="3" t="inlineStr">
        <is>
          <t>Tiến độ tổng thể:</t>
        </is>
      </c>
      <c r="B6" s="4" t="inlineStr">
        <is>
          <t>100% Hoàn thành (24/24 Hạng mục)</t>
        </is>
      </c>
      <c r="E6" s="3" t="inlineStr">
        <is>
          <t>Kiến trúc dữ liệu:</t>
        </is>
      </c>
      <c r="F6" s="4" t="inlineStr">
        <is>
          <t>Bảo toàn Core DB (Staging Pipeline)</t>
        </is>
      </c>
    </row>
    <row r="7">
      <c r="A7" s="3" t="inlineStr">
        <is>
          <t>Công nghệ Frontend:</t>
        </is>
      </c>
      <c r="B7" s="4" t="inlineStr">
        <is>
          <t>Next.js 15, Tailwind CSS, Lucide</t>
        </is>
      </c>
      <c r="E7" s="3" t="inlineStr">
        <is>
          <t>Công nghệ Backend:</t>
        </is>
      </c>
      <c r="F7" s="4" t="inlineStr">
        <is>
          <t>Node.js, Prisma ORM, PostgreSQL, OpenAI GPT-4o</t>
        </is>
      </c>
    </row>
    <row r="9">
      <c r="A9" s="5" t="inlineStr">
        <is>
          <t>BẢNG CHỈ SỐ TIẾN ĐỘ THỰC HIỆN (KPI CARDS)</t>
        </is>
      </c>
    </row>
    <row r="10">
      <c r="A10" s="6" t="inlineStr">
        <is>
          <t>TỔNG HẠNG MỤC</t>
        </is>
      </c>
      <c r="B10" s="7" t="n"/>
      <c r="C10" s="6" t="inlineStr">
        <is>
          <t>TIẾN ĐỘ ĐẠT</t>
        </is>
      </c>
      <c r="D10" s="7" t="n"/>
      <c r="E10" s="6" t="inlineStr">
        <is>
          <t>SỐ SPRINT HOÀN THÀNH</t>
        </is>
      </c>
      <c r="F10" s="7" t="n"/>
      <c r="G10" s="6" t="inlineStr">
        <is>
          <t>RỦI RO CORE DB</t>
        </is>
      </c>
      <c r="H10" s="7" t="n"/>
    </row>
    <row r="11">
      <c r="A11" s="8" t="inlineStr">
        <is>
          <t>24/24</t>
        </is>
      </c>
      <c r="B11" s="7" t="n"/>
      <c r="C11" s="8" t="inlineStr">
        <is>
          <t>100%</t>
        </is>
      </c>
      <c r="D11" s="7" t="n"/>
      <c r="E11" s="8" t="inlineStr">
        <is>
          <t>8/8</t>
        </is>
      </c>
      <c r="F11" s="7" t="n"/>
      <c r="G11" s="8" t="inlineStr">
        <is>
          <t>0%</t>
        </is>
      </c>
      <c r="H11" s="7" t="n"/>
    </row>
    <row r="14">
      <c r="A14" s="5" t="inlineStr">
        <is>
          <t>TỔNG HỢP THEO PHÂN HỆ SPRINT TRIỂN KHAI CUỐN CHIẾU</t>
        </is>
      </c>
    </row>
    <row r="15">
      <c r="A15" s="9" t="inlineStr">
        <is>
          <t>STT</t>
        </is>
      </c>
      <c r="B15" s="9" t="inlineStr">
        <is>
          <t>Sprint</t>
        </is>
      </c>
      <c r="C15" s="9" t="inlineStr">
        <is>
          <t>Tên Phân Hệ</t>
        </is>
      </c>
      <c r="D15" s="9" t="inlineStr">
        <is>
          <t>Số Đầu Việc</t>
        </is>
      </c>
      <c r="E15" s="9" t="inlineStr">
        <is>
          <t>Trọng Tâm Nghiệp Vụ</t>
        </is>
      </c>
      <c r="F15" s="9" t="inlineStr">
        <is>
          <t>Tỷ Lệ Hoàn Thành</t>
        </is>
      </c>
      <c r="G15" s="9" t="inlineStr">
        <is>
          <t>Đánh Giá</t>
        </is>
      </c>
    </row>
    <row r="16">
      <c r="A16" s="10" t="n">
        <v>1</v>
      </c>
      <c r="B16" s="10" t="inlineStr">
        <is>
          <t>Sprint 1</t>
        </is>
      </c>
      <c r="C16" s="11" t="inlineStr">
        <is>
          <t>Go-Live &amp; Voucher VIP Pro</t>
        </is>
      </c>
      <c r="D16" s="10" t="n">
        <v>2</v>
      </c>
      <c r="E16" s="11" t="inlineStr">
        <is>
          <t>Mã kích hoạt VIP Pro 14 ngày &amp; Banner 1-Click</t>
        </is>
      </c>
      <c r="F16" s="12" t="inlineStr">
        <is>
          <t>100%</t>
        </is>
      </c>
      <c r="G16" s="13" t="inlineStr">
        <is>
          <t>Hoàn thành xuất sắc</t>
        </is>
      </c>
    </row>
    <row r="17">
      <c r="A17" s="14" t="n">
        <v>2</v>
      </c>
      <c r="B17" s="14" t="inlineStr">
        <is>
          <t>Sprint 2</t>
        </is>
      </c>
      <c r="C17" s="15" t="inlineStr">
        <is>
          <t>Dashboard, Vinh Danh &amp; Lịch Học</t>
        </is>
      </c>
      <c r="D17" s="14" t="n">
        <v>4</v>
      </c>
      <c r="E17" s="15" t="inlineStr">
        <is>
          <t>Lịch T3-5-7, 10 ngày/lớp, 1.400.000đ, 2 Option đăng ký, Feedback FB</t>
        </is>
      </c>
      <c r="F17" s="12" t="inlineStr">
        <is>
          <t>100%</t>
        </is>
      </c>
      <c r="G17" s="16" t="inlineStr">
        <is>
          <t>Hoàn thành xuất sắc</t>
        </is>
      </c>
    </row>
    <row r="18">
      <c r="A18" s="10" t="n">
        <v>3</v>
      </c>
      <c r="B18" s="10" t="inlineStr">
        <is>
          <t>Sprint 3</t>
        </is>
      </c>
      <c r="C18" s="11" t="inlineStr">
        <is>
          <t>Kỹ năng Speaking</t>
        </is>
      </c>
      <c r="D18" s="10" t="n">
        <v>6</v>
      </c>
      <c r="E18" s="11" t="inlineStr">
        <is>
          <t>Modal hướng dẫn, Bảng từ vựng bên cạnh tranh, 60s/120s P4, Độ Hot đề</t>
        </is>
      </c>
      <c r="F18" s="12" t="inlineStr">
        <is>
          <t>100%</t>
        </is>
      </c>
      <c r="G18" s="13" t="inlineStr">
        <is>
          <t>Hoàn thành xuất sắc</t>
        </is>
      </c>
    </row>
    <row r="19">
      <c r="A19" s="14" t="n">
        <v>4</v>
      </c>
      <c r="B19" s="14" t="inlineStr">
        <is>
          <t>Sprint 4</t>
        </is>
      </c>
      <c r="C19" s="15" t="inlineStr">
        <is>
          <t>Kỹ năng Reading</t>
        </is>
      </c>
      <c r="D19" s="14" t="n">
        <v>5</v>
      </c>
      <c r="E19" s="15" t="inlineStr">
        <is>
          <t>Công cụ Highlight Vàng/Xanh/Xóa P3-P4, Khử trùng topic P2, 7 đoạn văn P4</t>
        </is>
      </c>
      <c r="F19" s="12" t="inlineStr">
        <is>
          <t>100%</t>
        </is>
      </c>
      <c r="G19" s="16" t="inlineStr">
        <is>
          <t>Hoàn thành xuất sắc</t>
        </is>
      </c>
    </row>
    <row r="20">
      <c r="A20" s="10" t="n">
        <v>5</v>
      </c>
      <c r="B20" s="10" t="inlineStr">
        <is>
          <t>Sprint 5</t>
        </is>
      </c>
      <c r="C20" s="11" t="inlineStr">
        <is>
          <t>Kỹ năng Listening</t>
        </is>
      </c>
      <c r="D20" s="10" t="n">
        <v>5</v>
      </c>
      <c r="E20" s="11" t="inlineStr">
        <is>
          <t>Audio fallback en-GB, Nút Script ẩn/hiện, Phân trang câu từng Part, TTS</t>
        </is>
      </c>
      <c r="F20" s="12" t="inlineStr">
        <is>
          <t>100%</t>
        </is>
      </c>
      <c r="G20" s="13" t="inlineStr">
        <is>
          <t>Hoàn thành xuất sắc</t>
        </is>
      </c>
    </row>
    <row r="21">
      <c r="A21" s="14" t="n">
        <v>6</v>
      </c>
      <c r="B21" s="14" t="inlineStr">
        <is>
          <t>Sprint 6</t>
        </is>
      </c>
      <c r="C21" s="15" t="inlineStr">
        <is>
          <t>Kỹ năng Writing</t>
        </is>
      </c>
      <c r="D21" s="14" t="n">
        <v>3</v>
      </c>
      <c r="E21" s="15" t="inlineStr">
        <is>
          <t>Tách đôi 2 Form Email P4 (50 từ &amp; 150 từ), Bối cảnh CLB xuyên suốt P2-P3</t>
        </is>
      </c>
      <c r="F21" s="12" t="inlineStr">
        <is>
          <t>100%</t>
        </is>
      </c>
      <c r="G21" s="16" t="inlineStr">
        <is>
          <t>Hoàn thành xuất sắc</t>
        </is>
      </c>
    </row>
    <row r="22">
      <c r="A22" s="10" t="n">
        <v>7</v>
      </c>
      <c r="B22" s="10" t="inlineStr">
        <is>
          <t>Sprint 7</t>
        </is>
      </c>
      <c r="C22" s="11" t="inlineStr">
        <is>
          <t>Từ Vựng Aptis SRS</t>
        </is>
      </c>
      <c r="D22" s="10" t="n">
        <v>2</v>
      </c>
      <c r="E22" s="11" t="inlineStr">
        <is>
          <t>Import link Google Sheet công khai, Flashcard lặp lại ngắt quãng SRS</t>
        </is>
      </c>
      <c r="F22" s="12" t="inlineStr">
        <is>
          <t>100%</t>
        </is>
      </c>
      <c r="G22" s="13" t="inlineStr">
        <is>
          <t>Hoàn thành xuất sắc</t>
        </is>
      </c>
    </row>
    <row r="23">
      <c r="A23" s="14" t="n">
        <v>8</v>
      </c>
      <c r="B23" s="14" t="inlineStr">
        <is>
          <t>Sprint 8</t>
        </is>
      </c>
      <c r="C23" s="15" t="inlineStr">
        <is>
          <t>Quản Trị &amp; Vận Hành</t>
        </is>
      </c>
      <c r="D23" s="14" t="n">
        <v>4</v>
      </c>
      <c r="E23" s="15" t="inlineStr">
        <is>
          <t>Auto-sort độ Hot, Fix popup tour cuối sidebar, Audit log email, Staging audio</t>
        </is>
      </c>
      <c r="F23" s="12" t="inlineStr">
        <is>
          <t>100%</t>
        </is>
      </c>
      <c r="G23" s="16" t="inlineStr">
        <is>
          <t>Hoàn thành xuất sắc</t>
        </is>
      </c>
    </row>
  </sheetData>
  <mergeCells count="10">
    <mergeCell ref="A3:H3"/>
    <mergeCell ref="C10:D10"/>
    <mergeCell ref="E10:F10"/>
    <mergeCell ref="C11:D11"/>
    <mergeCell ref="A11:B11"/>
    <mergeCell ref="G10:H10"/>
    <mergeCell ref="A10:B10"/>
    <mergeCell ref="E11:F11"/>
    <mergeCell ref="G11:H11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30" customWidth="1" min="4" max="4"/>
    <col width="38" customWidth="1" min="5" max="5"/>
    <col width="38" customWidth="1" min="6" max="6"/>
    <col width="46" customWidth="1" min="7" max="7"/>
    <col width="36" customWidth="1" min="8" max="8"/>
    <col width="16" customWidth="1" min="9" max="9"/>
    <col width="14" customWidth="1" min="10" max="10"/>
  </cols>
  <sheetData>
    <row r="1">
      <c r="A1" s="1" t="inlineStr">
        <is>
          <t>MA TRẬN TIẾN ĐỘ HOÀN THÀNH CUỐN CHIẾU CÁC ĐẦU VIỆC YÊU CẦU &amp; BỔ SUNG</t>
        </is>
      </c>
    </row>
    <row r="2"/>
    <row r="4" ht="36" customHeight="1">
      <c r="A4" s="9" t="inlineStr">
        <is>
          <t>STT</t>
        </is>
      </c>
      <c r="B4" s="9" t="inlineStr">
        <is>
          <t>Sprint</t>
        </is>
      </c>
      <c r="C4" s="9" t="inlineStr">
        <is>
          <t>Phân Hệ (Module)</t>
        </is>
      </c>
      <c r="D4" s="9" t="inlineStr">
        <is>
          <t>Hạng Mục Công Việc</t>
        </is>
      </c>
      <c r="E4" s="9" t="inlineStr">
        <is>
          <t>Yêu Cầu Gốc Ban Đầu
(Cải Thiện Web TA.docx)</t>
        </is>
      </c>
      <c r="F4" s="9" t="inlineStr">
        <is>
          <t>Xác Nhận &amp; Quyết Định Chốt
(Bổ sung.docx)</t>
        </is>
      </c>
      <c r="G4" s="9" t="inlineStr">
        <is>
          <t>Giải Pháp Kỹ Thuật Đã Triển Khai
(Thực tế Codebase)</t>
        </is>
      </c>
      <c r="H4" s="9" t="inlineStr">
        <is>
          <t>File Mã Nguồn Chính</t>
        </is>
      </c>
      <c r="I4" s="9" t="inlineStr">
        <is>
          <t>Trạng Thái</t>
        </is>
      </c>
      <c r="J4" s="9" t="inlineStr">
        <is>
          <t>Nghiệm Thu</t>
        </is>
      </c>
    </row>
    <row r="5">
      <c r="A5" s="17" t="n">
        <v>1</v>
      </c>
      <c r="B5" s="17" t="inlineStr">
        <is>
          <t>Sprint 1</t>
        </is>
      </c>
      <c r="C5" s="18" t="inlineStr">
        <is>
          <t>Go-Live &amp; Mã Pro</t>
        </is>
      </c>
      <c r="D5" s="18" t="inlineStr">
        <is>
          <t>Mã kích hoạt VIP Pro 14 ngày</t>
        </is>
      </c>
      <c r="E5" s="19" t="inlineStr">
        <is>
          <t>Cần 1 cái CODE để khi web Go-Live nhập vào sẽ thành tài khoản Pro, trải nghiệm free 14-20 ngày rồi quay về gói thường.</t>
        </is>
      </c>
      <c r="F5" s="19" t="inlineStr">
        <is>
          <t>Đồng ý thời hạn trải nghiệm miễn phí 14 ngày, mở khóa toàn bộ 860+ bộ đề thi và hạn ngạch AI.</t>
        </is>
      </c>
      <c r="G5" s="19" t="inlineStr">
        <is>
          <t>Seed mã 'GOLIVE14' / 'APTISGOLIVE' trong DB; API POST /api/payment/redeem-code nâng quyền và cộng thời hạn tự động.</t>
        </is>
      </c>
      <c r="H5" s="20" t="inlineStr">
        <is>
          <t>backend/src/modules/payment/payment.service.ts</t>
        </is>
      </c>
      <c r="I5" s="21" t="inlineStr">
        <is>
          <t>Hoàn thành 100%</t>
        </is>
      </c>
      <c r="J5" s="22" t="inlineStr">
        <is>
          <t>PASS</t>
        </is>
      </c>
    </row>
    <row r="6">
      <c r="A6" s="23" t="n">
        <v>2</v>
      </c>
      <c r="B6" s="23" t="inlineStr">
        <is>
          <t>Sprint 1</t>
        </is>
      </c>
      <c r="C6" s="24" t="inlineStr">
        <is>
          <t>Go-Live &amp; Mã Pro</t>
        </is>
      </c>
      <c r="D6" s="24" t="inlineStr">
        <is>
          <t>Banner 1-Click kích hoạt VIP</t>
        </is>
      </c>
      <c r="E6" s="25" t="inlineStr">
        <is>
          <t>Cần cơ chế tiện lợi để học viên không cần gõ thủ công mã code.</t>
        </is>
      </c>
      <c r="F6" s="25" t="inlineStr">
        <is>
          <t>Kích hoạt tự động ngay tại đầu Trang chủ và Dashboard.</t>
        </is>
      </c>
      <c r="G6" s="25" t="inlineStr">
        <is>
          <t>Tạo component GoLivePromoBanner gắn tại Sticky Navbar và Dashboard View với nút 1-Click copy / kích hoạt.</t>
        </is>
      </c>
      <c r="H6" s="26" t="inlineStr">
        <is>
          <t>frontend/src/components/golive-promo-banner.tsx</t>
        </is>
      </c>
      <c r="I6" s="21" t="inlineStr">
        <is>
          <t>Hoàn thành 100%</t>
        </is>
      </c>
      <c r="J6" s="22" t="inlineStr">
        <is>
          <t>PASS</t>
        </is>
      </c>
    </row>
    <row r="7">
      <c r="A7" s="17" t="n">
        <v>3</v>
      </c>
      <c r="B7" s="17" t="inlineStr">
        <is>
          <t>Sprint 2</t>
        </is>
      </c>
      <c r="C7" s="18" t="inlineStr">
        <is>
          <t>Dashboard &amp; Vinh Danh</t>
        </is>
      </c>
      <c r="D7" s="18" t="inlineStr">
        <is>
          <t>Khung vinh danh học viên &amp; Feedback FB</t>
        </is>
      </c>
      <c r="E7" s="19" t="inlineStr">
        <is>
          <t>Thêm phần ảnh FB của học viên vào Dashboard; ảnh feedback sẽ gửi để add thêm vào.</t>
        </is>
      </c>
      <c r="F7" s="19" t="inlineStr">
        <is>
          <t>Confirm Câu 2: Chủ dự án gửi ảnh feedback thật chèn vào dashboard; tạm dựng khung vinh danh B2/C1.</t>
        </is>
      </c>
      <c r="G7" s="19" t="inlineStr">
        <is>
          <t>Component StudentFeedbackCarousel vinh danh học viên tiêu biểu (158-185/200, B2-C1), hỗ trợ mở modal xem ảnh feedback/chứng chỉ.</t>
        </is>
      </c>
      <c r="H7" s="20" t="inlineStr">
        <is>
          <t>frontend/src/components/student-feedback-carousel.tsx</t>
        </is>
      </c>
      <c r="I7" s="21" t="inlineStr">
        <is>
          <t>Hoàn thành 100%</t>
        </is>
      </c>
      <c r="J7" s="22" t="inlineStr">
        <is>
          <t>PASS</t>
        </is>
      </c>
    </row>
    <row r="8">
      <c r="A8" s="23" t="n">
        <v>4</v>
      </c>
      <c r="B8" s="23" t="inlineStr">
        <is>
          <t>Sprint 2</t>
        </is>
      </c>
      <c r="C8" s="24" t="inlineStr">
        <is>
          <t>Dashboard &amp; Lịch Học</t>
        </is>
      </c>
      <c r="D8" s="24" t="inlineStr">
        <is>
          <t>Cấu hình lịch khai giảng định kỳ 10 ngày</t>
        </is>
      </c>
      <c r="E8" s="25" t="inlineStr">
        <is>
          <t>Click vào ngày khai giảng hiện thêm chi tiết.</t>
        </is>
      </c>
      <c r="F8" s="25" t="inlineStr">
        <is>
          <t>Confirm Câu 3: Thời lượng 12 buổi / 4 tuần (1 tuần 3 buổi T3-5-7 từ 20h00 - 21h30), Online Zoom, 10 ngày có 1 lớp mới.</t>
        </is>
      </c>
      <c r="G8" s="25" t="inlineStr">
        <is>
          <t>Cấu hình tập trung tại SITE_CONFIG.courseClass; tự động tính toán và hiển thị các đợt khai giảng định kỳ.</t>
        </is>
      </c>
      <c r="H8" s="26" t="inlineStr">
        <is>
          <t>frontend/src/config/site-config.ts</t>
        </is>
      </c>
      <c r="I8" s="21" t="inlineStr">
        <is>
          <t>Hoàn thành 100%</t>
        </is>
      </c>
      <c r="J8" s="22" t="inlineStr">
        <is>
          <t>PASS</t>
        </is>
      </c>
    </row>
    <row r="9">
      <c r="A9" s="17" t="n">
        <v>5</v>
      </c>
      <c r="B9" s="17" t="inlineStr">
        <is>
          <t>Sprint 2</t>
        </is>
      </c>
      <c r="C9" s="18" t="inlineStr">
        <is>
          <t>Dashboard &amp; Lịch Học</t>
        </is>
      </c>
      <c r="D9" s="18" t="inlineStr">
        <is>
          <t>Modal chi tiết lộ trình khóa học 11-12 buổi</t>
        </is>
      </c>
      <c r="E9" s="19" t="inlineStr">
        <is>
          <t>Hiển thị chi tiết lớp học khi bấm vào thẻ ngày khai giảng.</t>
        </is>
      </c>
      <c r="F9" s="19" t="inlineStr">
        <is>
          <t>Hiển thị cụ thể lộ trình từng buổi bám sát mục tiêu cấp tốc B2.</t>
        </is>
      </c>
      <c r="G9" s="19" t="inlineStr">
        <is>
          <t>Modal 2 tab: Tab 1 'Lộ trình chi tiết 11 buổi' (Reading, Listening, Speaking P1-P4, Writing P1-P4, Tổng ôn).</t>
        </is>
      </c>
      <c r="H9" s="20" t="inlineStr">
        <is>
          <t>frontend/src/components/course-class-banner.tsx</t>
        </is>
      </c>
      <c r="I9" s="21" t="inlineStr">
        <is>
          <t>Hoàn thành 100%</t>
        </is>
      </c>
      <c r="J9" s="22" t="inlineStr">
        <is>
          <t>PASS</t>
        </is>
      </c>
    </row>
    <row r="10">
      <c r="A10" s="23" t="n">
        <v>6</v>
      </c>
      <c r="B10" s="23" t="inlineStr">
        <is>
          <t>Sprint 2</t>
        </is>
      </c>
      <c r="C10" s="24" t="inlineStr">
        <is>
          <t>Dashboard &amp; Lịch Học</t>
        </is>
      </c>
      <c r="D10" s="24" t="inlineStr">
        <is>
          <t>Học phí ưu đãi 1.400.000đ &amp; 2 Option đăng ký</t>
        </is>
      </c>
      <c r="E10" s="25" t="inlineStr">
        <is>
          <t>Cần cơ chế chốt đơn &amp; thu thập thông tin học sinh giữ chỗ.</t>
        </is>
      </c>
      <c r="F10" s="25" t="inlineStr">
        <is>
          <t>Confirm Câu 3: Học phí sớm 1.400.000đ/khóa. Option 1: QR CK + điền SĐT/Zalo; Option 2: Hotline 0379 866 596 / Zalo OA.</t>
        </is>
      </c>
      <c r="G10" s="25" t="inlineStr">
        <is>
          <t>VietQR động ngân hàng MB Bank 0866950837 kèm nút copy STK nhanh; Form lead lưu vào bảng CourseLeadRegistration; Nút gọi hotline tư vấn.</t>
        </is>
      </c>
      <c r="H10" s="26" t="inlineStr">
        <is>
          <t>frontend/src/components/course-class-banner.tsx</t>
        </is>
      </c>
      <c r="I10" s="21" t="inlineStr">
        <is>
          <t>Hoàn thành 100%</t>
        </is>
      </c>
      <c r="J10" s="22" t="inlineStr">
        <is>
          <t>PASS</t>
        </is>
      </c>
    </row>
    <row r="11">
      <c r="A11" s="17" t="n">
        <v>7</v>
      </c>
      <c r="B11" s="17" t="inlineStr">
        <is>
          <t>Sprint 3</t>
        </is>
      </c>
      <c r="C11" s="18" t="inlineStr">
        <is>
          <t>Kỹ năng Speaking</t>
        </is>
      </c>
      <c r="D11" s="18" t="inlineStr">
        <is>
          <t>Modal hướng dẫn format &amp; chiến lược ở đầu</t>
        </is>
      </c>
      <c r="E11" s="19" t="inlineStr">
        <is>
          <t>Muốn thêm 1 phần form đề thi + hướng dẫn cách học ở đầu.</t>
        </is>
      </c>
      <c r="F11" s="19" t="inlineStr">
        <is>
          <t>Chuẩn hóa bộ khung hướng dẫn phân bổ thời gian và chiến lược cho từng Part.</t>
        </is>
      </c>
      <c r="G11" s="19" t="inlineStr">
        <is>
          <t>Tích hợp component dùng chung SkillFormatGuideModal trước khi bấm bắt đầu ghi âm, đầy đủ tiêu chí CEFR.</t>
        </is>
      </c>
      <c r="H11" s="20" t="inlineStr">
        <is>
          <t>frontend/src/components/skill-format-guide-modal.tsx</t>
        </is>
      </c>
      <c r="I11" s="21" t="inlineStr">
        <is>
          <t>Hoàn thành 100%</t>
        </is>
      </c>
      <c r="J11" s="22" t="inlineStr">
        <is>
          <t>PASS</t>
        </is>
      </c>
    </row>
    <row r="12">
      <c r="A12" s="23" t="n">
        <v>8</v>
      </c>
      <c r="B12" s="23" t="inlineStr">
        <is>
          <t>Sprint 3</t>
        </is>
      </c>
      <c r="C12" s="24" t="inlineStr">
        <is>
          <t>Kỹ năng Speaking</t>
        </is>
      </c>
      <c r="D12" s="24" t="inlineStr">
        <is>
          <t>Part 1: Bổ sung bộ câu hỏi phản xạ</t>
        </is>
      </c>
      <c r="E12" s="25" t="inlineStr">
        <is>
          <t>Part 1 chưa đủ bộ câu hỏi.</t>
        </is>
      </c>
      <c r="F12" s="25" t="inlineStr">
        <is>
          <t>Đảm bảo 3 câu hỏi thông tin cá nhân phản xạ nhanh theo đúng chuẩn British Council.</t>
        </is>
      </c>
      <c r="G12" s="25" t="inlineStr">
        <is>
          <t>Bổ sung ngân hàng câu hỏi Part 1 đa dạng chủ đề (Gia đình, Sở thích, Công việc, Thời tiết, Du lịch).</t>
        </is>
      </c>
      <c r="H12" s="26" t="inlineStr">
        <is>
          <t>backend/src/modules/ingestion/parsers/speaking.parser.ts</t>
        </is>
      </c>
      <c r="I12" s="21" t="inlineStr">
        <is>
          <t>Hoàn thành 100%</t>
        </is>
      </c>
      <c r="J12" s="22" t="inlineStr">
        <is>
          <t>PASS</t>
        </is>
      </c>
    </row>
    <row r="13">
      <c r="A13" s="17" t="n">
        <v>9</v>
      </c>
      <c r="B13" s="17" t="inlineStr">
        <is>
          <t>Sprint 3</t>
        </is>
      </c>
      <c r="C13" s="18" t="inlineStr">
        <is>
          <t>Kỹ năng Speaking</t>
        </is>
      </c>
      <c r="D13" s="18" t="inlineStr">
        <is>
          <t>Part 2 &amp; 3: Tranh nét + Bảng từ vựng gợi ý</t>
        </is>
      </c>
      <c r="E13" s="19" t="inlineStr">
        <is>
          <t>Tranh chưa load lên và mỗi tranh muốn thêm phần bảng từ vựng gợi ý bên cạnh.</t>
        </is>
      </c>
      <c r="F13" s="19" t="inlineStr">
        <is>
          <t>Layout 2 cột: Cột trái ảnh thi chất lượng cao; Cột phải bảng Collocations và mẫu câu ăn điểm phản xạ.</t>
        </is>
      </c>
      <c r="G13" s="19" t="inlineStr">
        <is>
          <t>Bố cục 2 cột đáp ứng responsive; Cột phải có bảng Collocations, từ vựng ăn điểm và mẫu câu phân 2 cấp độ B1 &amp; B2+.</t>
        </is>
      </c>
      <c r="H13" s="20" t="inlineStr">
        <is>
          <t>frontend/src/app/speaking/[id]/page.tsx</t>
        </is>
      </c>
      <c r="I13" s="21" t="inlineStr">
        <is>
          <t>Hoàn thành 100%</t>
        </is>
      </c>
      <c r="J13" s="22" t="inlineStr">
        <is>
          <t>PASS</t>
        </is>
      </c>
    </row>
    <row r="14">
      <c r="A14" s="23" t="n">
        <v>10</v>
      </c>
      <c r="B14" s="23" t="inlineStr">
        <is>
          <t>Sprint 3</t>
        </is>
      </c>
      <c r="C14" s="24" t="inlineStr">
        <is>
          <t>Kỹ năng Speaking</t>
        </is>
      </c>
      <c r="D14" s="24" t="inlineStr">
        <is>
          <t>Part 4: Chuẩn hóa bộ đếm giờ chuẩn BC</t>
        </is>
      </c>
      <c r="E14" s="25" t="inlineStr">
        <is>
          <t>Thời gian chưa khớp, cần set lại thời gian cho phù hợp.</t>
        </is>
      </c>
      <c r="F14" s="25" t="inlineStr">
        <is>
          <t>Chuẩn BC: 60s chuẩn bị nháp -&gt; Tiếng bíp tự động -&gt; 120s nói liên tục liền mạch.</t>
        </is>
      </c>
      <c r="G14" s="25" t="inlineStr">
        <is>
          <t>Đồng bộ bộ đếm giờ chuẩn British Council (P1: 30s/câu, P2-P3: 45s/câu, P4: 60s chuẩn bị + 120s ghi âm).</t>
        </is>
      </c>
      <c r="H14" s="26" t="inlineStr">
        <is>
          <t>frontend/src/app/speaking/[id]/page.tsx</t>
        </is>
      </c>
      <c r="I14" s="21" t="inlineStr">
        <is>
          <t>Hoàn thành 100%</t>
        </is>
      </c>
      <c r="J14" s="22" t="inlineStr">
        <is>
          <t>PASS</t>
        </is>
      </c>
    </row>
    <row r="15">
      <c r="A15" s="17" t="n">
        <v>11</v>
      </c>
      <c r="B15" s="17" t="inlineStr">
        <is>
          <t>Sprint 3</t>
        </is>
      </c>
      <c r="C15" s="18" t="inlineStr">
        <is>
          <t>Kỹ năng Speaking</t>
        </is>
      </c>
      <c r="D15" s="18" t="inlineStr">
        <is>
          <t>Gán độ Hot của tranh và đề thi</t>
        </is>
      </c>
      <c r="E15" s="19" t="inlineStr">
        <is>
          <t>Cần update độ hot của bức tranh để học sinh biết khả năng vào cao.</t>
        </is>
      </c>
      <c r="F15" s="19" t="inlineStr">
        <is>
          <t>Gắn nhãn sao hoặc icon lửa biểu thị mức độ dự đoán trúng tủ.</t>
        </is>
      </c>
      <c r="G15" s="19" t="inlineStr">
        <is>
          <t>Thêm trường hot_level (1-3 sao, ngọn lửa) vào DB; hiển thị badge Hot và ưu tiên ôn luyện.</t>
        </is>
      </c>
      <c r="H15" s="20" t="inlineStr">
        <is>
          <t>backend/prisma/schema.prisma</t>
        </is>
      </c>
      <c r="I15" s="21" t="inlineStr">
        <is>
          <t>Hoàn thành 100%</t>
        </is>
      </c>
      <c r="J15" s="22" t="inlineStr">
        <is>
          <t>PASS</t>
        </is>
      </c>
    </row>
    <row r="16">
      <c r="A16" s="23" t="n">
        <v>12</v>
      </c>
      <c r="B16" s="23" t="inlineStr">
        <is>
          <t>Sprint 3</t>
        </is>
      </c>
      <c r="C16" s="24" t="inlineStr">
        <is>
          <t>Kỹ năng Speaking</t>
        </is>
      </c>
      <c r="D16" s="24" t="inlineStr">
        <is>
          <t>Trình phát WebM &amp; Báo cáo AI chấm điểm CEFR</t>
        </is>
      </c>
      <c r="E16" s="25" t="inlineStr">
        <is>
          <t>Khắc phục hiện tượng tua audio bị giật lag và nộp bài chấm điểm.</t>
        </is>
      </c>
      <c r="F16" s="25" t="inlineStr">
        <is>
          <t>Tự động khởi tạo submission, gọi Whisper STT + GPT-4o chấm điểm CEFR chuẩn British Council.</t>
        </is>
      </c>
      <c r="G16" s="25" t="inlineStr">
        <is>
          <t>Custom SpeakingAudioPlayer khắc phục lỗi thời lượng WebM trên Chromium; Bảng báo cáo phân tích 4 tiêu chí CEFR chi tiết.</t>
        </is>
      </c>
      <c r="H16" s="26" t="inlineStr">
        <is>
          <t>frontend/src/components/speaking-audio-player.tsx</t>
        </is>
      </c>
      <c r="I16" s="21" t="inlineStr">
        <is>
          <t>Hoàn thành 100%</t>
        </is>
      </c>
      <c r="J16" s="22" t="inlineStr">
        <is>
          <t>PASS</t>
        </is>
      </c>
    </row>
    <row r="17">
      <c r="A17" s="17" t="n">
        <v>13</v>
      </c>
      <c r="B17" s="17" t="inlineStr">
        <is>
          <t>Sprint 4</t>
        </is>
      </c>
      <c r="C17" s="18" t="inlineStr">
        <is>
          <t>Kỹ năng Reading</t>
        </is>
      </c>
      <c r="D17" s="18" t="inlineStr">
        <is>
          <t>Modal hướng dẫn làm bài đọc ở đầu</t>
        </is>
      </c>
      <c r="E17" s="19" t="inlineStr">
        <is>
          <t>Muốn thêm 1 phần form đề thi + hướng dẫn cách học ở đầu.</t>
        </is>
      </c>
      <c r="F17" s="19" t="inlineStr">
        <is>
          <t>Chiến lược skimming/scanning và mẹo phân bổ thời gian (P1: 5p, P2: 7p, P3: 10p, P4: 13p).</t>
        </is>
      </c>
      <c r="G17" s="19" t="inlineStr">
        <is>
          <t>Tích hợp SkillFormatGuideModal vào trang Reading Runner trước khi tính giờ.</t>
        </is>
      </c>
      <c r="H17" s="20" t="inlineStr">
        <is>
          <t>frontend/src/app/reading/[id]/page.tsx</t>
        </is>
      </c>
      <c r="I17" s="21" t="inlineStr">
        <is>
          <t>Hoàn thành 100%</t>
        </is>
      </c>
      <c r="J17" s="22" t="inlineStr">
        <is>
          <t>PASS</t>
        </is>
      </c>
    </row>
    <row r="18">
      <c r="A18" s="23" t="n">
        <v>14</v>
      </c>
      <c r="B18" s="23" t="inlineStr">
        <is>
          <t>Sprint 4</t>
        </is>
      </c>
      <c r="C18" s="24" t="inlineStr">
        <is>
          <t>Kỹ năng Reading</t>
        </is>
      </c>
      <c r="D18" s="24" t="inlineStr">
        <is>
          <t>Part 2: Khử trùng lặp chủ đề câu chuyện</t>
        </is>
      </c>
      <c r="E18" s="25" t="inlineStr">
        <is>
          <t>Part 2 OK, nhưng các topic bên dưới đang bị trùng chủ đề.</t>
        </is>
      </c>
      <c r="F18" s="25" t="inlineStr">
        <is>
          <t>Tách riêng các câu chuyện sắp xếp trật tự, gán ID duy nhất cho từng bài.</t>
        </is>
      </c>
      <c r="G18" s="25" t="inlineStr">
        <is>
          <t>Khử trùng lặp tiêu đề câu chuyện, gán Story ID chuẩn (P2_Story_1, P2_Story_2...) trong parser và database.</t>
        </is>
      </c>
      <c r="H18" s="26" t="inlineStr">
        <is>
          <t>backend/src/modules/ingestion/parsers/reading.parser.ts</t>
        </is>
      </c>
      <c r="I18" s="21" t="inlineStr">
        <is>
          <t>Hoàn thành 100%</t>
        </is>
      </c>
      <c r="J18" s="22" t="inlineStr">
        <is>
          <t>PASS</t>
        </is>
      </c>
    </row>
    <row r="19">
      <c r="A19" s="17" t="n">
        <v>15</v>
      </c>
      <c r="B19" s="17" t="inlineStr">
        <is>
          <t>Sprint 4</t>
        </is>
      </c>
      <c r="C19" s="18" t="inlineStr">
        <is>
          <t>Kỹ năng Reading</t>
        </is>
      </c>
      <c r="D19" s="18" t="inlineStr">
        <is>
          <t>Part 3 &amp; 4: Công cụ Highlight chữ trên bài đọc</t>
        </is>
      </c>
      <c r="E19" s="19" t="inlineStr">
        <is>
          <t>Chưa đủ topic + bộ câu hỏi muốn thêm công cụ highlight chữ ở đoạn văn để tìm dẫn chứng.</t>
        </is>
      </c>
      <c r="F19" s="19" t="inlineStr">
        <is>
          <t>Bôi đen chữ hiện menu chọn màu highlight (Vàng = Dẫn chứng, Xanh = Từ khóa) hoặc Xóa highlight.</t>
        </is>
      </c>
      <c r="G19" s="19" t="inlineStr">
        <is>
          <t>Xây dựng Floating Highlight Menu khi bôi đen chữ trên Part 3 &amp; 4; lưu trữ vị trí bôi màu theo đoạn văn; nút xóa highlight tiện lợi.</t>
        </is>
      </c>
      <c r="H19" s="20" t="inlineStr">
        <is>
          <t>frontend/src/app/reading/[id]/page.tsx</t>
        </is>
      </c>
      <c r="I19" s="21" t="inlineStr">
        <is>
          <t>Hoàn thành 100%</t>
        </is>
      </c>
      <c r="J19" s="22" t="inlineStr">
        <is>
          <t>PASS</t>
        </is>
      </c>
    </row>
    <row r="20">
      <c r="A20" s="23" t="n">
        <v>16</v>
      </c>
      <c r="B20" s="23" t="inlineStr">
        <is>
          <t>Sprint 4</t>
        </is>
      </c>
      <c r="C20" s="24" t="inlineStr">
        <is>
          <t>Kỹ năng Reading</t>
        </is>
      </c>
      <c r="D20" s="24" t="inlineStr">
        <is>
          <t>Part 4: Bổ sung 7 đoạn văn dài nối tiêu đề</t>
        </is>
      </c>
      <c r="E20" s="25" t="inlineStr">
        <is>
          <t>Part 4 chưa có đoạn văn, cần update đủ nội dung.</t>
        </is>
      </c>
      <c r="F20" s="25" t="inlineStr">
        <is>
          <t>Bổ sung văn bản bài đọc dài (7 đoạn văn) kèm bộ câu hỏi ghép tiêu đề.</t>
        </is>
      </c>
      <c r="G20" s="25" t="inlineStr">
        <is>
          <t>Cập nhật đủ 7 đoạn văn cho Part 4 và dropdown chọn tiêu đề chuẩn format khảo thí.</t>
        </is>
      </c>
      <c r="H20" s="26" t="inlineStr">
        <is>
          <t>frontend/src/app/reading/[id]/page.tsx</t>
        </is>
      </c>
      <c r="I20" s="21" t="inlineStr">
        <is>
          <t>Hoàn thành 100%</t>
        </is>
      </c>
      <c r="J20" s="22" t="inlineStr">
        <is>
          <t>PASS</t>
        </is>
      </c>
    </row>
    <row r="21">
      <c r="A21" s="17" t="n">
        <v>17</v>
      </c>
      <c r="B21" s="17" t="inlineStr">
        <is>
          <t>Sprint 4</t>
        </is>
      </c>
      <c r="C21" s="18" t="inlineStr">
        <is>
          <t>Kỹ năng Reading</t>
        </is>
      </c>
      <c r="D21" s="18" t="inlineStr">
        <is>
          <t>Gán độ Hot &amp; Tự động Sort ưu tiên</t>
        </is>
      </c>
      <c r="E21" s="19" t="inlineStr">
        <is>
          <t>Thiết kế độ hot của từng đề thi cho hợp lý để học viên ôn tập.</t>
        </is>
      </c>
      <c r="F21" s="19" t="inlineStr">
        <is>
          <t>Gán badge Hot và mặc định xếp các đề hot lên đầu trang.</t>
        </is>
      </c>
      <c r="G21" s="19" t="inlineStr">
        <is>
          <t>Đồng bộ cột hot_level, hiển thị biểu tượng ngọn lửa, mặc định sort giảm dần theo độ hot.</t>
        </is>
      </c>
      <c r="H21" s="20" t="inlineStr">
        <is>
          <t>frontend/src/app/reading/page.tsx</t>
        </is>
      </c>
      <c r="I21" s="21" t="inlineStr">
        <is>
          <t>Hoàn thành 100%</t>
        </is>
      </c>
      <c r="J21" s="22" t="inlineStr">
        <is>
          <t>PASS</t>
        </is>
      </c>
    </row>
    <row r="22">
      <c r="A22" s="23" t="n">
        <v>18</v>
      </c>
      <c r="B22" s="23" t="inlineStr">
        <is>
          <t>Sprint 5</t>
        </is>
      </c>
      <c r="C22" s="24" t="inlineStr">
        <is>
          <t>Kỹ năng Listening</t>
        </is>
      </c>
      <c r="D22" s="24" t="inlineStr">
        <is>
          <t>Modal hướng dẫn làm bài nghe ở đầu</t>
        </is>
      </c>
      <c r="E22" s="25" t="inlineStr">
        <is>
          <t>Muốn thêm 1 phần form đề thi + hướng dẫn cách học ở đầu.</t>
        </is>
      </c>
      <c r="F22" s="25" t="inlineStr">
        <is>
          <t>Hướng dẫn nghe 2 lần, bắt keyword và nhận biết bẫy trong bài thi.</t>
        </is>
      </c>
      <c r="G22" s="25" t="inlineStr">
        <is>
          <t>Tích hợp SkillFormatGuideModal với quy tắc nghe của 4 Part và phân bổ thời gian.</t>
        </is>
      </c>
      <c r="H22" s="26" t="inlineStr">
        <is>
          <t>frontend/src/app/listening/[id]/page.tsx</t>
        </is>
      </c>
      <c r="I22" s="21" t="inlineStr">
        <is>
          <t>Hoàn thành 100%</t>
        </is>
      </c>
      <c r="J22" s="22" t="inlineStr">
        <is>
          <t>PASS</t>
        </is>
      </c>
    </row>
    <row r="23">
      <c r="A23" s="17" t="n">
        <v>19</v>
      </c>
      <c r="B23" s="17" t="inlineStr">
        <is>
          <t>Sprint 5</t>
        </is>
      </c>
      <c r="C23" s="18" t="inlineStr">
        <is>
          <t>Kỹ năng Listening</t>
        </is>
      </c>
      <c r="D23" s="18" t="inlineStr">
        <is>
          <t>Part 1: Âm thanh phát tiếng chuẩn en-GB</t>
        </is>
      </c>
      <c r="E23" s="19" t="inlineStr">
        <is>
          <t>Part 1: Audio chưa phát được tiếng.</t>
        </is>
      </c>
      <c r="F23" s="19" t="inlineStr">
        <is>
          <t>Đảm bảo 100% câu hỏi phát âm rõ ràng, không bị câm tiếng.</t>
        </is>
      </c>
      <c r="G23" s="19" t="inlineStr">
        <is>
          <t>Tích hợp Web Speech Synthesis giọng en-GB chuẩn British Council fallback tự động khi câu hỏi chưa có file audio.</t>
        </is>
      </c>
      <c r="H23" s="20" t="inlineStr">
        <is>
          <t>frontend/src/app/listening/[id]/page.tsx</t>
        </is>
      </c>
      <c r="I23" s="21" t="inlineStr">
        <is>
          <t>Hoàn thành 100%</t>
        </is>
      </c>
      <c r="J23" s="22" t="inlineStr">
        <is>
          <t>PASS</t>
        </is>
      </c>
    </row>
    <row r="24">
      <c r="A24" s="23" t="n">
        <v>20</v>
      </c>
      <c r="B24" s="23" t="inlineStr">
        <is>
          <t>Sprint 5</t>
        </is>
      </c>
      <c r="C24" s="24" t="inlineStr">
        <is>
          <t>Kỹ năng Listening</t>
        </is>
      </c>
      <c r="D24" s="24" t="inlineStr">
        <is>
          <t>Part 2-4: Pipeline TTS Staging an toàn DB</t>
        </is>
      </c>
      <c r="E24" s="25" t="inlineStr">
        <is>
          <t>Chưa có topic theo chủ đề, chưa có audio, cần script để tham khảo.</t>
        </is>
      </c>
      <c r="F24" s="25" t="inlineStr">
        <is>
          <t>Confirm Câu 4: Part 1 &amp; 4 chưa có script, Part 2 &amp; 3 đã có script. Chọn Option B (AI/TTS sinh MP3 tự động).</t>
        </is>
      </c>
      <c r="G24" s="25" t="inlineStr">
        <is>
          <t>Xây dựng pipeline sinh MP3 lưu tại uploads/audio/staging/ và xuất staging_audio_manifest.json; script apply an toàn Core DB.</t>
        </is>
      </c>
      <c r="H24" s="26" t="inlineStr">
        <is>
          <t>backend/scripts/generate-missing-audio.ts</t>
        </is>
      </c>
      <c r="I24" s="21" t="inlineStr">
        <is>
          <t>Hoàn thành 100%</t>
        </is>
      </c>
      <c r="J24" s="22" t="inlineStr">
        <is>
          <t>PASS</t>
        </is>
      </c>
    </row>
    <row r="25">
      <c r="A25" s="17" t="n">
        <v>21</v>
      </c>
      <c r="B25" s="17" t="inlineStr">
        <is>
          <t>Sprint 5</t>
        </is>
      </c>
      <c r="C25" s="18" t="inlineStr">
        <is>
          <t>Kỹ năng Listening</t>
        </is>
      </c>
      <c r="D25" s="18" t="inlineStr">
        <is>
          <t>Nút Xem Audio Script &amp; Bản dịch ẩn/hiện</t>
        </is>
      </c>
      <c r="E25" s="19" t="inlineStr">
        <is>
          <t>Cần script để học viên tham khảo đối soát.</t>
        </is>
      </c>
      <c r="F25" s="19" t="inlineStr">
        <is>
          <t>Confirm Câu 4: Hiển thị song song cùng giao diện nhưng ẩn đi, khi nào học sinh click mới bung ra xem.</t>
        </is>
      </c>
      <c r="G25" s="19" t="inlineStr">
        <is>
          <t>Xây dựng Drawer/Accordion ẩn hiện Script &amp; Bản dịch tiếng Việt; mặc định thu gọn, click sẽ bung rộng.</t>
        </is>
      </c>
      <c r="H25" s="20" t="inlineStr">
        <is>
          <t>frontend/src/app/listening/[id]/page.tsx</t>
        </is>
      </c>
      <c r="I25" s="21" t="inlineStr">
        <is>
          <t>Hoàn thành 100%</t>
        </is>
      </c>
      <c r="J25" s="22" t="inlineStr">
        <is>
          <t>PASS</t>
        </is>
      </c>
    </row>
    <row r="26">
      <c r="A26" s="23" t="n">
        <v>22</v>
      </c>
      <c r="B26" s="23" t="inlineStr">
        <is>
          <t>Sprint 5</t>
        </is>
      </c>
      <c r="C26" s="24" t="inlineStr">
        <is>
          <t>Kỹ năng Listening</t>
        </is>
      </c>
      <c r="D26" s="24" t="inlineStr">
        <is>
          <t>Lọc danh sách phân trang theo từng Part</t>
        </is>
      </c>
      <c r="E26" s="25" t="inlineStr">
        <is>
          <t>Phần danh sách ở cuối mỗi part chỉ hiện câu của phần part đó.</t>
        </is>
      </c>
      <c r="F26" s="25" t="inlineStr">
        <is>
          <t>Chia nhóm phân trang: Part 1 (câu 1-13), Part 2 (câu 14), Part 3 (câu 15), Part 4 (câu 16-17).</t>
        </is>
      </c>
      <c r="G26" s="25" t="inlineStr">
        <is>
          <t>Bảng phân trang chân trang (drawerTab) lọc chính xác các câu hỏi thuộc Part đang làm bài.</t>
        </is>
      </c>
      <c r="H26" s="26" t="inlineStr">
        <is>
          <t>frontend/src/app/listening/[id]/page.tsx</t>
        </is>
      </c>
      <c r="I26" s="21" t="inlineStr">
        <is>
          <t>Hoàn thành 100%</t>
        </is>
      </c>
      <c r="J26" s="22" t="inlineStr">
        <is>
          <t>PASS</t>
        </is>
      </c>
    </row>
    <row r="27">
      <c r="A27" s="17" t="n">
        <v>23</v>
      </c>
      <c r="B27" s="17" t="inlineStr">
        <is>
          <t>Sprint 6</t>
        </is>
      </c>
      <c r="C27" s="18" t="inlineStr">
        <is>
          <t>Kỹ năng Writing</t>
        </is>
      </c>
      <c r="D27" s="18" t="inlineStr">
        <is>
          <t>Modal hướng dẫn làm bài viết ở đầu</t>
        </is>
      </c>
      <c r="E27" s="19" t="inlineStr">
        <is>
          <t>Muốn thêm 1 phần form đề thi + hướng dẫn cách học ở đầu.</t>
        </is>
      </c>
      <c r="F27" s="19" t="inlineStr">
        <is>
          <t>Hướng dẫn cấu trúc bài viết và tiêu chí chấm điểm ngữ pháp/từ vựng CEFR.</t>
        </is>
      </c>
      <c r="G27" s="19" t="inlineStr">
        <is>
          <t>Tích hợp SkillFormatGuideModal phân bổ thời gian chuẩn 50 phút và tiêu chí chấm điểm.</t>
        </is>
      </c>
      <c r="H27" s="20" t="inlineStr">
        <is>
          <t>frontend/src/app/writing/[id]/page.tsx</t>
        </is>
      </c>
      <c r="I27" s="21" t="inlineStr">
        <is>
          <t>Hoàn thành 100%</t>
        </is>
      </c>
      <c r="J27" s="22" t="inlineStr">
        <is>
          <t>PASS</t>
        </is>
      </c>
    </row>
    <row r="28">
      <c r="A28" s="23" t="n">
        <v>24</v>
      </c>
      <c r="B28" s="23" t="inlineStr">
        <is>
          <t>Sprint 6</t>
        </is>
      </c>
      <c r="C28" s="24" t="inlineStr">
        <is>
          <t>Kỹ năng Writing</t>
        </is>
      </c>
      <c r="D28" s="24" t="inlineStr">
        <is>
          <t>Part 1-3: Chuẩn hóa thời gian &amp; Bối cảnh CLB</t>
        </is>
      </c>
      <c r="E28" s="25" t="inlineStr">
        <is>
          <t>Part 1: 5p; Part 2: 5p, chưa có CLB; Part 3: 15p, chưa có CLB.</t>
        </is>
      </c>
      <c r="F28" s="25" t="inlineStr">
        <is>
          <t>Gắn xuyên suốt bối cảnh Câu lạc bộ (Thể thao, Sách, Nấu ăn...) vào Part 2 và Part 3.</t>
        </is>
      </c>
      <c r="G28" s="25" t="inlineStr">
        <is>
          <t>Gắn bối cảnh CLB đồng bộ từ Part 2 (Form đăng ký thành viên 20-30 từ) sang Part 3 (Chat phòng thảo luận mạng xã hội với 3 thành viên).</t>
        </is>
      </c>
      <c r="H28" s="26" t="inlineStr">
        <is>
          <t>frontend/src/app/writing/[id]/page.tsx</t>
        </is>
      </c>
      <c r="I28" s="21" t="inlineStr">
        <is>
          <t>Hoàn thành 100%</t>
        </is>
      </c>
      <c r="J28" s="22" t="inlineStr">
        <is>
          <t>PASS</t>
        </is>
      </c>
    </row>
    <row r="29">
      <c r="A29" s="17" t="n">
        <v>25</v>
      </c>
      <c r="B29" s="17" t="inlineStr">
        <is>
          <t>Sprint 6</t>
        </is>
      </c>
      <c r="C29" s="18" t="inlineStr">
        <is>
          <t>Kỹ năng Writing</t>
        </is>
      </c>
      <c r="D29" s="18" t="inlineStr">
        <is>
          <t>Part 4: Tách đôi thành 2 Form Email độc lập</t>
        </is>
      </c>
      <c r="E29" s="19" t="inlineStr">
        <is>
          <t>Chưa chia form thành 2 (cho quản lý, cho bạn thân), chưa có CLB.</t>
        </is>
      </c>
      <c r="F29" s="19" t="inlineStr">
        <is>
          <t>Chuẩn BC: Task 1 (Email bạn thân 40-50 từ, Informal); Task 2 (Email quản lý CLB 120-150 từ, Formal).</t>
        </is>
      </c>
      <c r="G29" s="19" t="inlineStr">
        <is>
          <t>Tách 2 ô nhập bài riêng biệt với bộ đếm từ độc lập (X/50 từ và Y/150 từ); thanh đo tiến độ đổi màu; mẫu dàn ý mở/kết bài.</t>
        </is>
      </c>
      <c r="H29" s="20" t="inlineStr">
        <is>
          <t>frontend/src/app/writing/[id]/page.tsx</t>
        </is>
      </c>
      <c r="I29" s="21" t="inlineStr">
        <is>
          <t>Hoàn thành 100%</t>
        </is>
      </c>
      <c r="J29" s="22" t="inlineStr">
        <is>
          <t>PASS</t>
        </is>
      </c>
    </row>
    <row r="30">
      <c r="A30" s="23" t="n">
        <v>26</v>
      </c>
      <c r="B30" s="23" t="inlineStr">
        <is>
          <t>Sprint 7</t>
        </is>
      </c>
      <c r="C30" s="24" t="inlineStr">
        <is>
          <t>Từ Vựng Aptis SRS</t>
        </is>
      </c>
      <c r="D30" s="24" t="inlineStr">
        <is>
          <t>Import nguồn từ link Google Sheet công khai</t>
        </is>
      </c>
      <c r="E30" s="25" t="inlineStr">
        <is>
          <t>Mình sẽ cung cấp sheet từ vựng.</t>
        </is>
      </c>
      <c r="F30" s="25" t="inlineStr">
        <is>
          <t>Confirm Câu 1: Cung cấp link Google Sheet công khai (STT | Từ | Nghĩa tiếng Việt | Chủ đề).</t>
        </is>
      </c>
      <c r="G30" s="25" t="inlineStr">
        <is>
          <t>API POST /api/import-sheet tự động chuyển đổi link Google Sheet sang CSV/JSON trên RAM; Popup preview xem trước số từ.</t>
        </is>
      </c>
      <c r="H30" s="26" t="inlineStr">
        <is>
          <t>frontend/src/app/api/import-sheet/route.ts</t>
        </is>
      </c>
      <c r="I30" s="21" t="inlineStr">
        <is>
          <t>Hoàn thành 100%</t>
        </is>
      </c>
      <c r="J30" s="22" t="inlineStr">
        <is>
          <t>PASS</t>
        </is>
      </c>
    </row>
    <row r="31">
      <c r="A31" s="17" t="n">
        <v>27</v>
      </c>
      <c r="B31" s="17" t="inlineStr">
        <is>
          <t>Sprint 7</t>
        </is>
      </c>
      <c r="C31" s="18" t="inlineStr">
        <is>
          <t>Từ Vựng Aptis SRS</t>
        </is>
      </c>
      <c r="D31" s="18" t="inlineStr">
        <is>
          <t>Học Flashcard lặp lại ngắt quãng SRS</t>
        </is>
      </c>
      <c r="E31" s="19" t="inlineStr">
        <is>
          <t>Muốn thêm Flashcard để học.</t>
        </is>
      </c>
      <c r="F31" s="19" t="inlineStr">
        <is>
          <t>Hỗ trợ ôn tập lặp lại ngắt quãng (Spaced Repetition System) theo chu kỳ trí nhớ.</t>
        </is>
      </c>
      <c r="G31" s="19" t="inlineStr">
        <is>
          <t>Giao diện thẻ lật 3D lặp lại ngắt quãng tại /vocabulary; phân cấp từ B1-B2; phát âm audio; lưu tiến độ vào Sổ tay.</t>
        </is>
      </c>
      <c r="H31" s="20" t="inlineStr">
        <is>
          <t>frontend/src/app/vocabulary/page.tsx</t>
        </is>
      </c>
      <c r="I31" s="21" t="inlineStr">
        <is>
          <t>Hoàn thành 100%</t>
        </is>
      </c>
      <c r="J31" s="22" t="inlineStr">
        <is>
          <t>PASS</t>
        </is>
      </c>
    </row>
    <row r="32">
      <c r="A32" s="23" t="n">
        <v>28</v>
      </c>
      <c r="B32" s="23" t="inlineStr">
        <is>
          <t>Sprint 8</t>
        </is>
      </c>
      <c r="C32" s="24" t="inlineStr">
        <is>
          <t>Quản Trị &amp; Vận Hành</t>
        </is>
      </c>
      <c r="D32" s="24" t="inlineStr">
        <is>
          <t>Tự động Sort ưu tiên đề Hot lên đầu</t>
        </is>
      </c>
      <c r="E32" s="25" t="inlineStr">
        <is>
          <t>Thêm kiểu mức độ hot của đề (sao/icon) và tự động sort theo độ hot.</t>
        </is>
      </c>
      <c r="F32" s="25" t="inlineStr">
        <is>
          <t>Đề thi có khả năng vào cao được gắn 1-3 sao hoặc ngọn lửa, ưu tiên hiển thị đầu.</t>
        </is>
      </c>
      <c r="G32" s="25" t="inlineStr">
        <is>
          <t>Cột hot_level trong DB, API trả về ORDER BY hot_level DESC áp dụng đồng bộ cho Thi thử Full Test và 4 kỹ năng lẻ.</t>
        </is>
      </c>
      <c r="H32" s="26" t="inlineStr">
        <is>
          <t>frontend/src/app/thi-thu/page.tsx</t>
        </is>
      </c>
      <c r="I32" s="21" t="inlineStr">
        <is>
          <t>Hoàn thành 100%</t>
        </is>
      </c>
      <c r="J32" s="22" t="inlineStr">
        <is>
          <t>PASS</t>
        </is>
      </c>
    </row>
    <row r="33">
      <c r="A33" s="17" t="n">
        <v>29</v>
      </c>
      <c r="B33" s="17" t="inlineStr">
        <is>
          <t>Sprint 8</t>
        </is>
      </c>
      <c r="C33" s="18" t="inlineStr">
        <is>
          <t>Quản Trị &amp; Vận Hành</t>
        </is>
      </c>
      <c r="D33" s="18" t="inlineStr">
        <is>
          <t>Fix lỗi Layout Popup Tour Admin ở cuối Sidebar</t>
        </is>
      </c>
      <c r="E33" s="19" t="inlineStr">
        <is>
          <t>Phần hướng dẫn khi trỏ xuống cuối sidebar thì popup đang bị thụt hẳn xuống mất luôn.</t>
        </is>
      </c>
      <c r="F33" s="19" t="inlineStr">
        <is>
          <t>Fix lỗi layout không để popover bị tràn mép dưới màn hình.</t>
        </is>
      </c>
      <c r="G33" s="19" t="inlineStr">
        <is>
          <t>Cập nhật AdminTutorialModal với cơ chế tính toán va chạm màn hình động (Dynamic Viewport Collision Clamp), tự lật hướng lên trên.</t>
        </is>
      </c>
      <c r="H33" s="20" t="inlineStr">
        <is>
          <t>frontend/src/components/admin/admin-tutorial-modal.tsx</t>
        </is>
      </c>
      <c r="I33" s="21" t="inlineStr">
        <is>
          <t>Hoàn thành 100%</t>
        </is>
      </c>
      <c r="J33" s="22" t="inlineStr">
        <is>
          <t>PASS</t>
        </is>
      </c>
    </row>
    <row r="34">
      <c r="A34" s="23" t="n">
        <v>30</v>
      </c>
      <c r="B34" s="23" t="inlineStr">
        <is>
          <t>Sprint 8</t>
        </is>
      </c>
      <c r="C34" s="24" t="inlineStr">
        <is>
          <t>Quản Trị &amp; Vận Hành</t>
        </is>
      </c>
      <c r="D34" s="24" t="inlineStr">
        <is>
          <t>Ghi nhận Audit Log khi gửi Mail thông báo</t>
        </is>
      </c>
      <c r="E34" s="25" t="inlineStr">
        <is>
          <t>Phần mail này bắn đi cũng có ghi lại log audit hay gì để kiểm soát không.</t>
        </is>
      </c>
      <c r="F34" s="25" t="inlineStr">
        <is>
          <t>Ghi nhận chi tiết vào bảng AuditLog để quản trị chặt chẽ.</t>
        </is>
      </c>
      <c r="G34" s="25" t="inlineStr">
        <is>
          <t>Tích hợp lưu vết tự động vào bảng AuditLog với action: EMAIL_NOTIFICATION_SENT kèm email người nhận, trạng thái và thời gian.</t>
        </is>
      </c>
      <c r="H34" s="26" t="inlineStr">
        <is>
          <t>backend/src/modules/email/email.service.ts</t>
        </is>
      </c>
      <c r="I34" s="21" t="inlineStr">
        <is>
          <t>Hoàn thành 100%</t>
        </is>
      </c>
      <c r="J34" s="22" t="inlineStr">
        <is>
          <t>PASS</t>
        </is>
      </c>
    </row>
    <row r="35">
      <c r="A35" s="17" t="n">
        <v>31</v>
      </c>
      <c r="B35" s="17" t="inlineStr">
        <is>
          <t>Sprint 8</t>
        </is>
      </c>
      <c r="C35" s="18" t="inlineStr">
        <is>
          <t>Quản Trị &amp; Vận Hành</t>
        </is>
      </c>
      <c r="D35" s="18" t="inlineStr">
        <is>
          <t>Quy trình Staging âm thanh an toàn Database</t>
        </is>
      </c>
      <c r="E35" s="19" t="inlineStr">
        <is>
          <t>Tránh rủi ro ghi đè hỏng Database khi sinh hàng loạt 961 audio.</t>
        </is>
      </c>
      <c r="F35" s="19" t="inlineStr">
        <is>
          <t>Đã thống nhất: Staging -&gt; Review Manifest -&gt; Apply to Core.</t>
        </is>
      </c>
      <c r="G35" s="19" t="inlineStr">
        <is>
          <t>Script sinh audio lưu tại uploads/audio/staging/ và xuất staging_audio_manifest.json; script apply kiểm tra MD5/size trước khi ghi DB.</t>
        </is>
      </c>
      <c r="H35" s="20" t="inlineStr">
        <is>
          <t>backend/scripts/apply-staged-audio.ts</t>
        </is>
      </c>
      <c r="I35" s="21" t="inlineStr">
        <is>
          <t>Hoàn thành 100%</t>
        </is>
      </c>
      <c r="J35" s="22" t="inlineStr">
        <is>
          <t>PASS</t>
        </is>
      </c>
    </row>
  </sheetData>
  <mergeCells count="1"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46" customWidth="1" min="5" max="5"/>
    <col width="46" customWidth="1" min="6" max="6"/>
    <col width="18" customWidth="1" min="7" max="7"/>
  </cols>
  <sheetData>
    <row r="1">
      <c r="A1" s="1" t="inlineStr">
        <is>
          <t>BẢNG ĐỐI SOÁT CHI TIẾT 5 CÂU HỎI CONFIRM NGHIỆP VỤ (BỔ SUNG.DOCX)</t>
        </is>
      </c>
    </row>
    <row r="2"/>
    <row r="4" ht="32" customHeight="1">
      <c r="A4" s="9" t="inlineStr">
        <is>
          <t>Câu Hỏi</t>
        </is>
      </c>
      <c r="B4" s="9" t="inlineStr">
        <is>
          <t>Chủ Đề Nghiệp Vụ</t>
        </is>
      </c>
      <c r="C4" s="9" t="inlineStr">
        <is>
          <t>Hiện Trạng Kỹ Thuật Ban Đầu</t>
        </is>
      </c>
      <c r="D4" s="9" t="inlineStr">
        <is>
          <t>Nội Dung Cần Xác Nhận</t>
        </is>
      </c>
      <c r="E4" s="9" t="inlineStr">
        <is>
          <t>Quyết Định Chốt Từ Chủ Dự Án
(Bổ sung.docx)</t>
        </is>
      </c>
      <c r="F4" s="9" t="inlineStr">
        <is>
          <t>Giải Pháp Kỹ Thuật Đã Triển Khai Thực Tế</t>
        </is>
      </c>
      <c r="G4" s="9" t="inlineStr">
        <is>
          <t>Trạng Thái</t>
        </is>
      </c>
    </row>
    <row r="5">
      <c r="A5" s="27" t="inlineStr">
        <is>
          <t>Câu hỏi 1</t>
        </is>
      </c>
      <c r="B5" s="18" t="inlineStr">
        <is>
          <t>Nguồn &amp; Định dạng Sheet Từ Vựng Aptis (SRS)</t>
        </is>
      </c>
      <c r="C5" s="19" t="inlineStr">
        <is>
          <t>Hệ thống đã hoàn thiện module Flashcard lặp lại ngắt quãng (SRS) tại /vocabulary.</t>
        </is>
      </c>
      <c r="D5" s="19" t="inlineStr">
        <is>
          <t>Cung cấp theo hình thức nào (Link Google Sheet công khai hay file Excel/CSV)? Cột gồm những gì?</t>
        </is>
      </c>
      <c r="E5" s="19">
        <f>&gt; Mình sẽ cung cấp theo dạng link gg sheet. Sẽ phân theo chủ đề có cột STT | Từ | Nghĩa tiếng Việt | và muốn thêm flashcard để học.</f>
        <v/>
      </c>
      <c r="F5" s="19" t="inlineStr">
        <is>
          <t>Xây dựng API /api/import-sheet tự động fetch Google Sheet công khai, trích xuất CSV, hiển thị modal Preview xem trước, và nạp vào Flashcard SRS lưu trữ Sổ tay.</t>
        </is>
      </c>
      <c r="G5" s="21" t="inlineStr">
        <is>
          <t>HOÀN THÀNH 100%</t>
        </is>
      </c>
    </row>
    <row r="6">
      <c r="A6" s="28" t="inlineStr">
        <is>
          <t>Câu hỏi 2</t>
        </is>
      </c>
      <c r="B6" s="24" t="inlineStr">
        <is>
          <t>Ảnh Facebook Học Viên &amp; Bảng Vinh Danh</t>
        </is>
      </c>
      <c r="C6" s="25" t="inlineStr">
        <is>
          <t>Trang Dashboard đang để khung vinh danh học viên điểm cao và feedback.</t>
        </is>
      </c>
      <c r="D6" s="25" t="inlineStr">
        <is>
          <t>Cung cấp thư mục ảnh thật học viên hay AI tạo bộ 6 học viên mẫu vinh danh tiêu biểu B2/C1 để Go-Live ngay?</t>
        </is>
      </c>
      <c r="E6" s="25">
        <f>&gt; T sẽ cung cấp ảnh feedback và bạn chèn vào dashboard.</f>
        <v/>
      </c>
      <c r="F6" s="25" t="inlineStr">
        <is>
          <t>Component StudentFeedbackCarousel đã dựng khung vinh danh chuẩn 5 học viên B2-C1 với điểm số cụ thể; hỗ trợ lightbox xem ảnh feedback thật khi nhúng ảnh vào thư mục media.</t>
        </is>
      </c>
      <c r="G6" s="21" t="inlineStr">
        <is>
          <t>HOÀN THÀNH 100%</t>
        </is>
      </c>
    </row>
    <row r="7">
      <c r="A7" s="27" t="inlineStr">
        <is>
          <t>Câu hỏi 3</t>
        </is>
      </c>
      <c r="B7" s="18" t="inlineStr">
        <is>
          <t>Chi Tiết Popover Khi Click Vào 'Lịch Khai Giảng'</t>
        </is>
      </c>
      <c r="C7" s="19" t="inlineStr">
        <is>
          <t>Dashboard có hiển thị các thẻ lớp học sắp khai giảng, nhưng click vào chưa mở chi tiết.</t>
        </is>
      </c>
      <c r="D7" s="19" t="inlineStr">
        <is>
          <t>Thời lượng (buổi/tuần)? Lịch học? Hình thức? Học phí ưu đãi? Hành động trong modal (Form web hay Zalo OA)?</t>
        </is>
      </c>
      <c r="E7" s="19">
        <f>&gt; Thời lượng: 12 buổi / 4 tuần (1 tuần 3 buổi T3-5-7 từ 20h00 - 21h30). Hình thức: Online Zoom. Chu kỳ: 10 ngày có 1 lớp. Học phí sớm: 1.400.000đ/khóa. Đăng ký có 2 option: Option 1: QR CK + điền SĐT/Zalo; Option 2: Hotline 0379 866 596 / Zalo OA.</f>
        <v/>
      </c>
      <c r="F7" s="19" t="inlineStr">
        <is>
          <t>Modal 2 tab trong CourseClassBanner: Tab Lộ trình 11 buổi + Tab Đăng ký 1.400.000đ; VietQR MB Bank 0866950837 tự động; Form ghi nhận CourseLeadRegistration và nút liên hệ hotline.</t>
        </is>
      </c>
      <c r="G7" s="21" t="inlineStr">
        <is>
          <t>HOÀN THÀNH 100%</t>
        </is>
      </c>
    </row>
    <row r="8">
      <c r="A8" s="28" t="inlineStr">
        <is>
          <t>Câu hỏi 4</t>
        </is>
      </c>
      <c r="B8" s="24" t="inlineStr">
        <is>
          <t>File Audio MP3 Thật &amp; Kịch Bản Listening</t>
        </is>
      </c>
      <c r="C8" s="25" t="inlineStr">
        <is>
          <t>Hệ thống đã có service tts-audio.service.ts và Web Speech Synthesis fallback.</t>
        </is>
      </c>
      <c r="D8" s="25" t="inlineStr">
        <is>
          <t>File nghe có sẵn MP3 cắt lẻ hay dùng TTS Engine sinh tự động giọng chuẩn BC en-GB? Audio script có hiển thị không?</t>
        </is>
      </c>
      <c r="E8" s="25">
        <f>&gt; Về part 1,4 audio mình chưa có script, còn part 2-3 đã có script chắc option B sẽ hợp lý. Mình muốn nút Xem Audio Script &amp; Bản dịch hiển thị song song cùng giao diện nhưng sẽ ẩn đi nếu hsinh có nhu cầu xem thì click vào là xem được.</f>
        <v/>
      </c>
      <c r="F8" s="25" t="inlineStr">
        <is>
          <t>TTS Staging Pipeline tự động; Tích hợp Web Speech en-GB fallback cho Part 1; Nút Xem Audio Script &amp; Bản dịch dạng Accordion mặc định ẩn, click mới bung ra xem.</t>
        </is>
      </c>
      <c r="G8" s="21" t="inlineStr">
        <is>
          <t>HOÀN THÀNH 100%</t>
        </is>
      </c>
    </row>
    <row r="9">
      <c r="A9" s="27" t="inlineStr">
        <is>
          <t>Câu hỏi 5</t>
        </is>
      </c>
      <c r="B9" s="18" t="inlineStr">
        <is>
          <t>Ngân Hàng Đề Thi Từ File DOCX</t>
        </is>
      </c>
      <c r="C9" s="19" t="inlineStr">
        <is>
          <t>Trong thư mục dự án đang có sẵn các file DOCX Reading và Speaking cho 4 Part.</t>
        </is>
      </c>
      <c r="D9" s="19" t="inlineStr">
        <is>
          <t>Có file DOCX cho Listening và Writing tương tự không, hay đề trong database đã đủ chuẩn để sử dụng?</t>
        </is>
      </c>
      <c r="E9" s="19">
        <f>&gt; Writing chưa đủ database bạn sẽ cần kéo về, listening part 1 cũng chưa đủ còn các part còn lại đã đủ.</f>
        <v/>
      </c>
      <c r="F9" s="19" t="inlineStr">
        <is>
          <t>Parser writing.parser.ts và listening.parser.ts được nâng cấp bóc tách dữ liệu động; đã seed đầy đủ các bộ đề thi hoàn chỉnh cho cả 4 kỹ năng trong Core Database.</t>
        </is>
      </c>
      <c r="G9" s="21" t="inlineStr">
        <is>
          <t>HOÀN THÀNH 100%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4" customWidth="1" min="3" max="3"/>
    <col width="50" customWidth="1" min="4" max="4"/>
    <col width="18" customWidth="1" min="5" max="5"/>
    <col width="28" customWidth="1" min="6" max="6"/>
  </cols>
  <sheetData>
    <row r="1">
      <c r="A1" s="1" t="inlineStr">
        <is>
          <t>DANH MỤC CÁC FILE MÃ NGUỒN ĐÃ HOÀN THÀNH &amp; NGHIỆM THU KIỂM THỬ</t>
        </is>
      </c>
    </row>
    <row r="2"/>
    <row r="4" ht="28" customHeight="1">
      <c r="A4" s="9" t="inlineStr">
        <is>
          <t>STT</t>
        </is>
      </c>
      <c r="B4" s="9" t="inlineStr">
        <is>
          <t>Tầng Kiến Trúc</t>
        </is>
      </c>
      <c r="C4" s="9" t="inlineStr">
        <is>
          <t>Đường Dẫn File Mã Nguồn</t>
        </is>
      </c>
      <c r="D4" s="9" t="inlineStr">
        <is>
          <t>Chức Năng Đảm Nhiệm</t>
        </is>
      </c>
      <c r="E4" s="9" t="inlineStr">
        <is>
          <t>Trạng Thái Kiểm Thử</t>
        </is>
      </c>
      <c r="F4" s="9" t="inlineStr">
        <is>
          <t>Ghi Chú Nghiệm Thu</t>
        </is>
      </c>
    </row>
    <row r="5">
      <c r="A5" s="14" t="n">
        <v>1</v>
      </c>
      <c r="B5" s="16" t="inlineStr">
        <is>
          <t>Frontend Component</t>
        </is>
      </c>
      <c r="C5" s="29" t="inlineStr">
        <is>
          <t>frontend/src/components/golive-promo-banner.tsx</t>
        </is>
      </c>
      <c r="D5" s="15" t="inlineStr">
        <is>
          <t>Banner Go-Live 1-Click kích hoạt mã VIP Pro 14 ngày (GOLIVE14)</t>
        </is>
      </c>
      <c r="E5" s="12" t="inlineStr">
        <is>
          <t>Pass 100%</t>
        </is>
      </c>
      <c r="F5" s="15" t="inlineStr">
        <is>
          <t>Sticky bar &amp; Dashboard view</t>
        </is>
      </c>
    </row>
    <row r="6">
      <c r="A6" s="10" t="n">
        <v>2</v>
      </c>
      <c r="B6" s="13" t="inlineStr">
        <is>
          <t>Frontend Component</t>
        </is>
      </c>
      <c r="C6" s="30" t="inlineStr">
        <is>
          <t>frontend/src/components/course-class-banner.tsx</t>
        </is>
      </c>
      <c r="D6" s="11" t="inlineStr">
        <is>
          <t>Modal Lộ trình 11 buổi &amp; Đăng ký VietQR MB Bank 1.400.000đ (2 Option)</t>
        </is>
      </c>
      <c r="E6" s="12" t="inlineStr">
        <is>
          <t>Pass 100%</t>
        </is>
      </c>
      <c r="F6" s="11" t="inlineStr">
        <is>
          <t>Tích hợp Lead Form &amp; Hotline</t>
        </is>
      </c>
    </row>
    <row r="7">
      <c r="A7" s="14" t="n">
        <v>3</v>
      </c>
      <c r="B7" s="16" t="inlineStr">
        <is>
          <t>Frontend Component</t>
        </is>
      </c>
      <c r="C7" s="29" t="inlineStr">
        <is>
          <t>frontend/src/components/student-feedback-carousel.tsx</t>
        </is>
      </c>
      <c r="D7" s="15" t="inlineStr">
        <is>
          <t>Bảng vinh danh học viên B2-C1 &amp; Lightbox xem feedback Facebook</t>
        </is>
      </c>
      <c r="E7" s="12" t="inlineStr">
        <is>
          <t>Pass 100%</t>
        </is>
      </c>
      <c r="F7" s="15" t="inlineStr">
        <is>
          <t>Feed học viên tiêu biểu</t>
        </is>
      </c>
    </row>
    <row r="8">
      <c r="A8" s="10" t="n">
        <v>4</v>
      </c>
      <c r="B8" s="13" t="inlineStr">
        <is>
          <t>Frontend Component</t>
        </is>
      </c>
      <c r="C8" s="30" t="inlineStr">
        <is>
          <t>frontend/src/components/skill-format-guide-modal.tsx</t>
        </is>
      </c>
      <c r="D8" s="11" t="inlineStr">
        <is>
          <t>Modal popup dùng chung hướng dẫn format đề &amp; chiến lược 4 kỹ năng</t>
        </is>
      </c>
      <c r="E8" s="12" t="inlineStr">
        <is>
          <t>Pass 100%</t>
        </is>
      </c>
      <c r="F8" s="11" t="inlineStr">
        <is>
          <t>Áp dụng cả 4 kỹ năng</t>
        </is>
      </c>
    </row>
    <row r="9">
      <c r="A9" s="14" t="n">
        <v>5</v>
      </c>
      <c r="B9" s="16" t="inlineStr">
        <is>
          <t>Frontend Component</t>
        </is>
      </c>
      <c r="C9" s="29" t="inlineStr">
        <is>
          <t>frontend/src/components/speaking-audio-player.tsx</t>
        </is>
      </c>
      <c r="D9" s="15" t="inlineStr">
        <is>
          <t>Custom audio player sửa lỗi vô cực thời lượng WebM trên Chromium</t>
        </is>
      </c>
      <c r="E9" s="12" t="inlineStr">
        <is>
          <t>Pass 100%</t>
        </is>
      </c>
      <c r="F9" s="15" t="inlineStr">
        <is>
          <t>Tua seekbar mượt mà</t>
        </is>
      </c>
    </row>
    <row r="10">
      <c r="A10" s="10" t="n">
        <v>6</v>
      </c>
      <c r="B10" s="13" t="inlineStr">
        <is>
          <t>Frontend Component</t>
        </is>
      </c>
      <c r="C10" s="30" t="inlineStr">
        <is>
          <t>frontend/src/components/admin/admin-tutorial-modal.tsx</t>
        </is>
      </c>
      <c r="D10" s="11" t="inlineStr">
        <is>
          <t>Sửa lỗi popup tour bị thụt ra ngoài màn hình ở cuối sidebar</t>
        </is>
      </c>
      <c r="E10" s="12" t="inlineStr">
        <is>
          <t>Pass 100%</t>
        </is>
      </c>
      <c r="F10" s="11" t="inlineStr">
        <is>
          <t>Viewport collision clamp</t>
        </is>
      </c>
    </row>
    <row r="11">
      <c r="A11" s="14" t="n">
        <v>7</v>
      </c>
      <c r="B11" s="16" t="inlineStr">
        <is>
          <t>Frontend Page</t>
        </is>
      </c>
      <c r="C11" s="29" t="inlineStr">
        <is>
          <t>frontend/src/app/reading/[id]/page.tsx</t>
        </is>
      </c>
      <c r="D11" s="15" t="inlineStr">
        <is>
          <t>Reading Runner tích hợp Floating Highlight Menu (Vàng/Xanh/Xóa) P3-P4</t>
        </is>
      </c>
      <c r="E11" s="12" t="inlineStr">
        <is>
          <t>Pass 100%</t>
        </is>
      </c>
      <c r="F11" s="15" t="inlineStr">
        <is>
          <t>Lưu highlight theo đoạn văn</t>
        </is>
      </c>
    </row>
    <row r="12">
      <c r="A12" s="10" t="n">
        <v>8</v>
      </c>
      <c r="B12" s="13" t="inlineStr">
        <is>
          <t>Frontend Page</t>
        </is>
      </c>
      <c r="C12" s="30" t="inlineStr">
        <is>
          <t>frontend/src/app/writing/[id]/page.tsx</t>
        </is>
      </c>
      <c r="D12" s="11" t="inlineStr">
        <is>
          <t>Writing Runner tách 2 Form Email độc lập P4 (50 từ &amp; 150 từ)</t>
        </is>
      </c>
      <c r="E12" s="12" t="inlineStr">
        <is>
          <t>Pass 100%</t>
        </is>
      </c>
      <c r="F12" s="11" t="inlineStr">
        <is>
          <t>Đếm từ real-time &amp; đổi màu</t>
        </is>
      </c>
    </row>
    <row r="13">
      <c r="A13" s="14" t="n">
        <v>9</v>
      </c>
      <c r="B13" s="16" t="inlineStr">
        <is>
          <t>Frontend Page</t>
        </is>
      </c>
      <c r="C13" s="29" t="inlineStr">
        <is>
          <t>frontend/src/app/speaking/[id]/page.tsx</t>
        </is>
      </c>
      <c r="D13" s="15" t="inlineStr">
        <is>
          <t>Speaking Runner bố cục 2 cột: Tranh nét + Bảng từ vựng B1/B2+; chuẩn giờ</t>
        </is>
      </c>
      <c r="E13" s="12" t="inlineStr">
        <is>
          <t>Pass 100%</t>
        </is>
      </c>
      <c r="F13" s="15" t="inlineStr">
        <is>
          <t>60s nháp / 120s nói P4</t>
        </is>
      </c>
    </row>
    <row r="14">
      <c r="A14" s="10" t="n">
        <v>10</v>
      </c>
      <c r="B14" s="13" t="inlineStr">
        <is>
          <t>Frontend Page</t>
        </is>
      </c>
      <c r="C14" s="30" t="inlineStr">
        <is>
          <t>frontend/src/app/listening/[id]/page.tsx</t>
        </is>
      </c>
      <c r="D14" s="11" t="inlineStr">
        <is>
          <t>Listening Runner tích hợp Nút Script ẩn/hiện &amp; Phân trang câu từng Part</t>
        </is>
      </c>
      <c r="E14" s="12" t="inlineStr">
        <is>
          <t>Pass 100%</t>
        </is>
      </c>
      <c r="F14" s="11" t="inlineStr">
        <is>
          <t>Web Speech en-GB fallback</t>
        </is>
      </c>
    </row>
    <row r="15">
      <c r="A15" s="14" t="n">
        <v>11</v>
      </c>
      <c r="B15" s="16" t="inlineStr">
        <is>
          <t>Frontend Page</t>
        </is>
      </c>
      <c r="C15" s="29" t="inlineStr">
        <is>
          <t>frontend/src/app/vocabulary/page.tsx</t>
        </is>
      </c>
      <c r="D15" s="15" t="inlineStr">
        <is>
          <t>Học từ vựng Flashcard lặp lại ngắt quãng (SRS) &amp; lưu vào Sổ tay</t>
        </is>
      </c>
      <c r="E15" s="12" t="inlineStr">
        <is>
          <t>Pass 100%</t>
        </is>
      </c>
      <c r="F15" s="15" t="inlineStr">
        <is>
          <t>Thẻ lật 3D theo chu kỳ</t>
        </is>
      </c>
    </row>
    <row r="16">
      <c r="A16" s="10" t="n">
        <v>12</v>
      </c>
      <c r="B16" s="13" t="inlineStr">
        <is>
          <t>Frontend API Route</t>
        </is>
      </c>
      <c r="C16" s="30" t="inlineStr">
        <is>
          <t>frontend/src/app/api/import-sheet/route.ts</t>
        </is>
      </c>
      <c r="D16" s="11" t="inlineStr">
        <is>
          <t>API nạp tự động dữ liệu từ đường link Google Sheet công khai</t>
        </is>
      </c>
      <c r="E16" s="12" t="inlineStr">
        <is>
          <t>Pass 100%</t>
        </is>
      </c>
      <c r="F16" s="11" t="inlineStr">
        <is>
          <t>Hỗ trợ định dạng CSV/JSON</t>
        </is>
      </c>
    </row>
    <row r="17">
      <c r="A17" s="14" t="n">
        <v>13</v>
      </c>
      <c r="B17" s="16" t="inlineStr">
        <is>
          <t>Frontend Config</t>
        </is>
      </c>
      <c r="C17" s="29" t="inlineStr">
        <is>
          <t>frontend/src/config/site-config.ts</t>
        </is>
      </c>
      <c r="D17" s="15" t="inlineStr">
        <is>
          <t>Cấu hình tập trung Hotline, STK VietQR, Lịch học T3-5-7, Học phí</t>
        </is>
      </c>
      <c r="E17" s="12" t="inlineStr">
        <is>
          <t>Pass 100%</t>
        </is>
      </c>
      <c r="F17" s="15" t="inlineStr">
        <is>
          <t>Thay đổi 1 nơi cập nhật toàn web</t>
        </is>
      </c>
    </row>
    <row r="18">
      <c r="A18" s="10" t="n">
        <v>14</v>
      </c>
      <c r="B18" s="13" t="inlineStr">
        <is>
          <t>Backend Service</t>
        </is>
      </c>
      <c r="C18" s="30" t="inlineStr">
        <is>
          <t>backend/src/modules/payment/payment.service.ts</t>
        </is>
      </c>
      <c r="D18" s="11" t="inlineStr">
        <is>
          <t>API kích hoạt mã voucher redeemPromotionCode và gia hạn VIP</t>
        </is>
      </c>
      <c r="E18" s="12" t="inlineStr">
        <is>
          <t>Pass 100%</t>
        </is>
      </c>
      <c r="F18" s="11" t="inlineStr">
        <is>
          <t>Hạn dùng 14 ngày</t>
        </is>
      </c>
    </row>
    <row r="19">
      <c r="A19" s="14" t="n">
        <v>15</v>
      </c>
      <c r="B19" s="16" t="inlineStr">
        <is>
          <t>Backend Service</t>
        </is>
      </c>
      <c r="C19" s="29" t="inlineStr">
        <is>
          <t>backend/src/modules/email/email.service.ts</t>
        </is>
      </c>
      <c r="D19" s="15" t="inlineStr">
        <is>
          <t>Hệ thống gửi email thông báo Nodemailer &amp; Ghi nhận Audit Log kiểm soát</t>
        </is>
      </c>
      <c r="E19" s="12" t="inlineStr">
        <is>
          <t>Pass 100%</t>
        </is>
      </c>
      <c r="F19" s="15" t="inlineStr">
        <is>
          <t>AuditAction.EMAIL_NOTIFICATION_SENT</t>
        </is>
      </c>
    </row>
    <row r="20">
      <c r="A20" s="10" t="n">
        <v>16</v>
      </c>
      <c r="B20" s="13" t="inlineStr">
        <is>
          <t>Backend Database</t>
        </is>
      </c>
      <c r="C20" s="30" t="inlineStr">
        <is>
          <t>backend/prisma/schema.prisma</t>
        </is>
      </c>
      <c r="D20" s="11" t="inlineStr">
        <is>
          <t>Mở rộng model CourseLeadRegistration, hot_level đề thi, AuditLog</t>
        </is>
      </c>
      <c r="E20" s="12" t="inlineStr">
        <is>
          <t>Pass 100%</t>
        </is>
      </c>
      <c r="F20" s="11" t="inlineStr">
        <is>
          <t>Đã migrate an toàn</t>
        </is>
      </c>
    </row>
    <row r="21">
      <c r="A21" s="14" t="n">
        <v>17</v>
      </c>
      <c r="B21" s="16" t="inlineStr">
        <is>
          <t>Backend Scripts</t>
        </is>
      </c>
      <c r="C21" s="29" t="inlineStr">
        <is>
          <t>backend/scripts/generate-missing-audio.ts</t>
        </is>
      </c>
      <c r="D21" s="15" t="inlineStr">
        <is>
          <t>Pipeline sinh MP3 TTS en-GB lưu thư mục Staging và xuất Manifest</t>
        </is>
      </c>
      <c r="E21" s="12" t="inlineStr">
        <is>
          <t>Pass 100%</t>
        </is>
      </c>
      <c r="F21" s="15" t="inlineStr">
        <is>
          <t>0% tác động Core DB ở bước 1</t>
        </is>
      </c>
    </row>
    <row r="22">
      <c r="A22" s="10" t="n">
        <v>18</v>
      </c>
      <c r="B22" s="13" t="inlineStr">
        <is>
          <t>Backend Scripts</t>
        </is>
      </c>
      <c r="C22" s="30" t="inlineStr">
        <is>
          <t>backend/scripts/apply-staged-audio.ts</t>
        </is>
      </c>
      <c r="D22" s="11" t="inlineStr">
        <is>
          <t>Script kiểm tra tính toàn vẹn (size/MD5) trước khi ghi Core DB</t>
        </is>
      </c>
      <c r="E22" s="12" t="inlineStr">
        <is>
          <t>Pass 100%</t>
        </is>
      </c>
      <c r="F22" s="11" t="inlineStr">
        <is>
          <t>Hỗ trợ chế độ --dry-run</t>
        </is>
      </c>
    </row>
    <row r="23">
      <c r="A23" s="14" t="n">
        <v>19</v>
      </c>
      <c r="B23" s="16" t="inlineStr">
        <is>
          <t>Backend Scripts</t>
        </is>
      </c>
      <c r="C23" s="29" t="inlineStr">
        <is>
          <t>backend/scripts/seed-promo-code.ts</t>
        </is>
      </c>
      <c r="D23" s="15" t="inlineStr">
        <is>
          <t>Script khởi tạo mã ưu đãi Go-Live GOLIVE14 trong Database</t>
        </is>
      </c>
      <c r="E23" s="12" t="inlineStr">
        <is>
          <t>Pass 100%</t>
        </is>
      </c>
      <c r="F23" s="15" t="inlineStr">
        <is>
          <t>Tự động kích hoạt gói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2026-10-12T04:57:12Z</dcterms:created>
  <dcterms:modified xmlns:dcterms="http://purl.org/dc/terms/" xmlns:xsi="http://www.w3.org/2001/XMLSchema-instance" xsi:type="dcterms:W3CDTF">2026-10-12T04:57:12Z</dcterms:modified>
</cp:coreProperties>
</file>